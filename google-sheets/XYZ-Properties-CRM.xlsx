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Leads" sheetId="3" state="visible" r:id="rId3"/>
    <sheet name="Projects" sheetId="4" state="visible" r:id="rId4"/>
    <sheet name="Visits" sheetId="5" state="visible" r:id="rId5"/>
    <sheet name="Messages" sheetId="6" state="visible" r:id="rId6"/>
    <sheet name="Field guide" sheetId="7" state="visible" r:id="rId7"/>
  </sheets>
  <definedNames>
    <definedName name="_xlnm._FilterDatabase" localSheetId="2" hidden="1">'Leads'!$A$1:$AH$1</definedName>
    <definedName name="_xlnm._FilterDatabase" localSheetId="3" hidden="1">'Projects'!$A$1:$P$1</definedName>
    <definedName name="_xlnm._FilterDatabase" localSheetId="4" hidden="1">'Visits'!$A$1:$N$1</definedName>
    <definedName name="_xlnm._FilterDatabase" localSheetId="5" hidden="1">'Messages'!$A$1:$I$1</definedName>
    <definedName name="_xlnm._FilterDatabase" localSheetId="6" hidden="1">'Field guide'!$A$4:$D$4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10192B"/>
      <sz val="10"/>
    </font>
    <font>
      <name val="Arial"/>
      <b val="1"/>
      <color rgb="FF10192B"/>
      <sz val="16"/>
    </font>
    <font>
      <name val="Arial"/>
      <color rgb="FF5A6472"/>
      <sz val="9"/>
    </font>
    <font>
      <name val="Arial"/>
      <b val="1"/>
      <color rgb="FF0E7C66"/>
      <sz val="11"/>
    </font>
    <font>
      <name val="Arial"/>
      <b val="1"/>
      <color rgb="FF10192B"/>
      <sz val="10"/>
    </font>
    <font>
      <name val="Arial"/>
      <color rgb="FF5A6472"/>
      <sz val="10"/>
    </font>
    <font>
      <name val="Arial"/>
      <b val="1"/>
      <color rgb="FF0E7C66"/>
      <sz val="10"/>
    </font>
  </fonts>
  <fills count="5">
    <fill>
      <patternFill/>
    </fill>
    <fill>
      <patternFill patternType="gray125"/>
    </fill>
    <fill>
      <patternFill patternType="solid">
        <fgColor rgb="FF10192B"/>
      </patternFill>
    </fill>
    <fill>
      <patternFill patternType="solid">
        <fgColor rgb="FFFFF4D6"/>
      </patternFill>
    </fill>
    <fill>
      <patternFill patternType="solid">
        <fgColor rgb="FFEEF1F6"/>
      </patternFill>
    </fill>
  </fills>
  <borders count="2">
    <border>
      <left/>
      <right/>
      <top/>
      <bottom/>
      <diagonal/>
    </border>
    <border>
      <left style="thin">
        <color rgb="FFD3D9E3"/>
      </left>
      <right style="thin">
        <color rgb="FFD3D9E3"/>
      </right>
      <top style="thin">
        <color rgb="FFD3D9E3"/>
      </top>
      <bottom style="thin">
        <color rgb="FFD3D9E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6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1" pivotButton="0" quotePrefix="0" xfId="0"/>
    <xf numFmtId="3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1" fillId="2" borderId="1" applyAlignment="1" pivotButton="0" quotePrefix="0" xfId="0">
      <alignment vertical="center"/>
    </xf>
    <xf numFmtId="0" fontId="2" fillId="3" borderId="0" applyAlignment="1" pivotButton="0" quotePrefix="0" xfId="0">
      <alignment vertical="top"/>
    </xf>
    <xf numFmtId="0" fontId="1" fillId="2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Setup</author>
  </authors>
  <commentList>
    <comment ref="A1" authorId="0" shapeId="0">
      <text>
        <t>Written by n8n. Do not add rows by hand and never reorder or rename these columns - the workflows map to them by name.
Safe to edit: owner, notes.</t>
      </text>
    </comment>
  </commentList>
</comments>
</file>

<file path=xl/comments/comment2.xml><?xml version="1.0" encoding="utf-8"?>
<comments xmlns="http://schemas.openxmlformats.org/spreadsheetml/2006/main">
  <authors>
    <author>Setup</author>
  </authors>
  <commentList>
    <comment ref="A1" authorId="0" shapeId="0">
      <text>
        <t>THE ONLY TAB YOU FILL IN BY HAND.
Everything the WhatsApp bot says about a property is read from here.
image_1..3 and brochure_url must be public direct links Meta can fetch - a Google Drive share link will not work.</t>
      </text>
    </comment>
  </commentList>
</comments>
</file>

<file path=xl/comments/comment3.xml><?xml version="1.0" encoding="utf-8"?>
<comments xmlns="http://schemas.openxmlformats.org/spreadsheetml/2006/main">
  <authors>
    <author>Setup</author>
  </authors>
  <commentList>
    <comment ref="A1" authorId="0" shapeId="0">
      <text>
        <t>Written by n8n when a buyer taps a slot. One row per booked site visit.</t>
      </text>
    </comment>
  </commentList>
</comments>
</file>

<file path=xl/comments/comment4.xml><?xml version="1.0" encoding="utf-8"?>
<comments xmlns="http://schemas.openxmlformats.org/spreadsheetml/2006/main">
  <authors>
    <author>Setup</author>
  </authors>
  <commentList>
    <comment ref="A1" authorId="0" shapeId="0">
      <text>
        <t>Written by n8n. Full inbound/outbound log - useful when a client asks what exactly was sent.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86" customWidth="1" min="3" max="3"/>
  </cols>
  <sheetData>
    <row r="2">
      <c r="B2" s="1" t="inlineStr">
        <is>
          <t>XYZ Properties - CRM</t>
        </is>
      </c>
    </row>
    <row r="3">
      <c r="B3" s="2" t="inlineStr">
        <is>
          <t>One spreadsheet behind all four n8n workflows. Upload to Google Drive, open as a Google Sheet, and paste its ID into each workflow's Config node.</t>
        </is>
      </c>
    </row>
    <row r="5">
      <c r="B5" s="3" t="inlineStr">
        <is>
          <t>SETUP</t>
        </is>
      </c>
      <c r="C5" s="4" t="inlineStr"/>
    </row>
    <row r="6">
      <c r="B6" s="5" t="inlineStr">
        <is>
          <t>1. Upload</t>
        </is>
      </c>
      <c r="C6" s="6" t="inlineStr">
        <is>
          <t>File &gt; Import is not needed. Put this .xlsx in Google Drive, right-click &gt; Open with &gt; Google Sheets, then File &gt; Save as Google Sheets.</t>
        </is>
      </c>
    </row>
    <row r="7">
      <c r="B7" s="5" t="inlineStr">
        <is>
          <t>2. Copy the ID</t>
        </is>
      </c>
      <c r="C7" s="6" t="inlineStr">
        <is>
          <t>From the URL: docs.google.com/spreadsheets/d/THIS-PART-HERE/edit</t>
        </is>
      </c>
    </row>
    <row r="8">
      <c r="B8" s="5" t="inlineStr">
        <is>
          <t>3. Paste it</t>
        </is>
      </c>
      <c r="C8" s="6" t="inlineStr">
        <is>
          <t>Into SHEET_ID in the Config node of RE-00, RE-04 and RE-05.</t>
        </is>
      </c>
    </row>
    <row r="9">
      <c r="B9" s="5" t="inlineStr">
        <is>
          <t>4. Fill in Projects</t>
        </is>
      </c>
      <c r="C9" s="6" t="inlineStr">
        <is>
          <t>The only tab you edit by hand. Two example rows are shaded - overwrite them with your real projects.</t>
        </is>
      </c>
    </row>
    <row r="10">
      <c r="B10" s="5" t="inlineStr">
        <is>
          <t>5. Share</t>
        </is>
      </c>
      <c r="C10" s="6" t="inlineStr">
        <is>
          <t>Share the sheet with the Google account whose credential n8n uses, as Editor.</t>
        </is>
      </c>
    </row>
    <row r="12">
      <c r="B12" s="3" t="inlineStr">
        <is>
          <t>THE TABS</t>
        </is>
      </c>
      <c r="C12" s="4" t="inlineStr"/>
    </row>
    <row r="13">
      <c r="B13" s="5" t="inlineStr">
        <is>
          <t>Leads</t>
        </is>
      </c>
      <c r="C13" s="6" t="inlineStr">
        <is>
          <t>One row per buyer. Written by n8n, matched on the phone column. Do not reorder or rename columns.</t>
        </is>
      </c>
    </row>
    <row r="14">
      <c r="B14" s="5" t="inlineStr">
        <is>
          <t>Projects</t>
        </is>
      </c>
      <c r="C14" s="6" t="inlineStr">
        <is>
          <t>Reference data you own. Every price, photo and brochure link the bot sends comes from here.</t>
        </is>
      </c>
    </row>
    <row r="15">
      <c r="B15" s="5" t="inlineStr">
        <is>
          <t>Visits</t>
        </is>
      </c>
      <c r="C15" s="6" t="inlineStr">
        <is>
          <t>One row per booked site visit, written when a buyer taps a slot.</t>
        </is>
      </c>
    </row>
    <row r="16">
      <c r="B16" s="5" t="inlineStr">
        <is>
          <t>Messages</t>
        </is>
      </c>
      <c r="C16" s="6" t="inlineStr">
        <is>
          <t>Full inbound/outbound log - what was sent, to whom, when.</t>
        </is>
      </c>
    </row>
    <row r="17">
      <c r="B17" s="5" t="inlineStr">
        <is>
          <t>Dashboard</t>
        </is>
      </c>
      <c r="C17" s="6" t="inlineStr">
        <is>
          <t>Live formulas over the tabs above. Read-only.</t>
        </is>
      </c>
    </row>
    <row r="18">
      <c r="B18" s="5" t="inlineStr">
        <is>
          <t>Field guide</t>
        </is>
      </c>
      <c r="C18" s="6" t="inlineStr">
        <is>
          <t>What writes each column and what a real value looks like.</t>
        </is>
      </c>
    </row>
    <row r="20">
      <c r="B20" s="3" t="inlineStr">
        <is>
          <t>RULES THAT MATTER</t>
        </is>
      </c>
      <c r="C20" s="4" t="inlineStr"/>
    </row>
    <row r="21">
      <c r="B21" s="5" t="inlineStr">
        <is>
          <t>Never rename a column</t>
        </is>
      </c>
      <c r="C21" s="6" t="inlineStr">
        <is>
          <t>The workflows map to headers by name. A renamed header silently stops being written.</t>
        </is>
      </c>
    </row>
    <row r="22">
      <c r="B22" s="5" t="inlineStr">
        <is>
          <t>Never reorder tabs or rename them</t>
        </is>
      </c>
      <c r="C22" s="6" t="inlineStr">
        <is>
          <t>n8n looks tabs up by name: Leads, Projects, Visits, Messages.</t>
        </is>
      </c>
    </row>
    <row r="23">
      <c r="B23" s="5" t="inlineStr">
        <is>
          <t>Keep row 1 as the header</t>
        </is>
      </c>
      <c r="C23" s="6" t="inlineStr">
        <is>
          <t>n8n reads row 1 to build its column map.</t>
        </is>
      </c>
    </row>
    <row r="24">
      <c r="B24" s="5" t="inlineStr">
        <is>
          <t>Yours to edit</t>
        </is>
      </c>
      <c r="C24" s="6" t="inlineStr">
        <is>
          <t>The Projects tab, plus owner and notes on Leads. Everything else is machine-written.</t>
        </is>
      </c>
    </row>
    <row r="25">
      <c r="B25" s="5" t="inlineStr">
        <is>
          <t>Public image and brochure links</t>
        </is>
      </c>
      <c r="C25" s="6" t="inlineStr">
        <is>
          <t>Meta fetches them server-side. A Drive share link returns HTML, not a file, and the send fails.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Pipeline at a glance</t>
        </is>
      </c>
    </row>
    <row r="2">
      <c r="A2" s="2" t="inlineStr">
        <is>
          <t>Live counts straight from the Leads tab. Nothing to edit here - every cell is a formula.</t>
        </is>
      </c>
    </row>
    <row r="4">
      <c r="A4" s="3" t="inlineStr">
        <is>
          <t>Pipeline</t>
        </is>
      </c>
      <c r="B4" s="4" t="inlineStr"/>
    </row>
    <row r="5">
      <c r="A5" s="7" t="inlineStr">
        <is>
          <t>Total leads</t>
        </is>
      </c>
      <c r="B5" s="8">
        <f>COUNTA(Leads!$A$2:$A$5000)</f>
        <v/>
      </c>
    </row>
    <row r="6">
      <c r="A6" s="7" t="inlineStr">
        <is>
          <t>New - awaiting first call</t>
        </is>
      </c>
      <c r="B6" s="8">
        <f>COUNTIF(Leads!$O$2:$O$5000,"New")</f>
        <v/>
      </c>
    </row>
    <row r="7">
      <c r="A7" s="7" t="inlineStr">
        <is>
          <t>Engaged - in conversation</t>
        </is>
      </c>
      <c r="B7" s="8">
        <f>COUNTIF(Leads!$O$2:$O$5000,"Engaged")</f>
        <v/>
      </c>
    </row>
    <row r="8">
      <c r="A8" s="7" t="inlineStr">
        <is>
          <t>Nurturing - in the follow-up sequence</t>
        </is>
      </c>
      <c r="B8" s="8">
        <f>COUNTIF(Leads!$O$2:$O$5000,"Nurturing")</f>
        <v/>
      </c>
    </row>
    <row r="9">
      <c r="A9" s="7" t="inlineStr">
        <is>
          <t>Visit scheduled</t>
        </is>
      </c>
      <c r="B9" s="8">
        <f>COUNTIF(Leads!$O$2:$O$5000,"Visit Scheduled")</f>
        <v/>
      </c>
    </row>
    <row r="10">
      <c r="A10" s="7" t="inlineStr">
        <is>
          <t>Booked</t>
        </is>
      </c>
      <c r="B10" s="8">
        <f>COUNTIF(Leads!$O$2:$O$5000,"Booked")</f>
        <v/>
      </c>
    </row>
    <row r="11">
      <c r="A11" s="7" t="inlineStr">
        <is>
          <t>Lost or dropped</t>
        </is>
      </c>
      <c r="B11" s="8">
        <f>COUNTIF(Leads!$O$2:$O$5000,"Lost")+COUNTIF(Leads!$O$2:$O$5000,"Dropped")</f>
        <v/>
      </c>
    </row>
    <row r="13">
      <c r="A13" s="3" t="inlineStr">
        <is>
          <t>Grades</t>
        </is>
      </c>
      <c r="B13" s="4" t="inlineStr"/>
    </row>
    <row r="14">
      <c r="A14" s="7" t="inlineStr">
        <is>
          <t>HOT</t>
        </is>
      </c>
      <c r="B14" s="8">
        <f>COUNTIF(Leads!$P$2:$P$5000,"HOT")</f>
        <v/>
      </c>
    </row>
    <row r="15">
      <c r="A15" s="7" t="inlineStr">
        <is>
          <t>WARM</t>
        </is>
      </c>
      <c r="B15" s="8">
        <f>COUNTIF(Leads!$P$2:$P$5000,"WARM")</f>
        <v/>
      </c>
    </row>
    <row r="16">
      <c r="A16" s="7" t="inlineStr">
        <is>
          <t>COLD</t>
        </is>
      </c>
      <c r="B16" s="8">
        <f>COUNTIF(Leads!$P$2:$P$5000,"COLD")</f>
        <v/>
      </c>
    </row>
    <row r="17">
      <c r="A17" s="7" t="inlineStr">
        <is>
          <t>JUNK - timepass, brokers, spam</t>
        </is>
      </c>
      <c r="B17" s="8">
        <f>COUNTIF(Leads!$P$2:$P$5000,"JUNK")</f>
        <v/>
      </c>
    </row>
    <row r="18">
      <c r="A18" s="7" t="inlineStr">
        <is>
          <t>Ungraded</t>
        </is>
      </c>
      <c r="B18" s="8">
        <f>COUNTA(Leads!$A$2:$A$5000)-COUNTIF(Leads!$P$2:$P$5000,"HOT")-COUNTIF(Leads!$P$2:$P$5000,"WARM")-COUNTIF(Leads!$P$2:$P$5000,"COLD")-COUNTIF(Leads!$P$2:$P$5000,"JUNK")</f>
        <v/>
      </c>
    </row>
    <row r="20">
      <c r="A20" s="3" t="inlineStr">
        <is>
          <t>Nurture and activity</t>
        </is>
      </c>
      <c r="B20" s="4" t="inlineStr"/>
    </row>
    <row r="21">
      <c r="A21" s="7" t="inlineStr">
        <is>
          <t>At the 6-follow-up cap - needs a human</t>
        </is>
      </c>
      <c r="B21" s="8">
        <f>COUNTIF(Leads!$Y$2:$Y$5000,"&gt;=6")</f>
        <v/>
      </c>
    </row>
    <row r="22">
      <c r="A22" s="7" t="inlineStr">
        <is>
          <t>Site visits booked (Visits tab)</t>
        </is>
      </c>
      <c r="B22" s="8">
        <f>COUNTA(Visits!$A$2:$A$5000)</f>
        <v/>
      </c>
    </row>
    <row r="23">
      <c r="A23" s="7" t="inlineStr">
        <is>
          <t>WhatsApp messages sent</t>
        </is>
      </c>
      <c r="B23" s="8">
        <f>COUNTIF(Messages!$D$2:$D$20000,"outbound")</f>
        <v/>
      </c>
    </row>
    <row r="24">
      <c r="A24" s="7" t="inlineStr">
        <is>
          <t>Messages received from buyers</t>
        </is>
      </c>
      <c r="B24" s="8">
        <f>COUNTIF(Messages!$D$2:$D$20000,"inbound")</f>
        <v/>
      </c>
    </row>
    <row r="25">
      <c r="A25" s="7" t="inlineStr">
        <is>
          <t>Enquiry to booking</t>
        </is>
      </c>
      <c r="B25" s="9">
        <f>IFERROR(B10/B5,0)</f>
        <v/>
      </c>
    </row>
    <row r="26">
      <c r="A26" s="7" t="inlineStr">
        <is>
          <t>Enquiry to site visit</t>
        </is>
      </c>
      <c r="B26" s="9">
        <f>IFERROR((B9+B10)/B5,0)</f>
        <v/>
      </c>
    </row>
    <row r="28">
      <c r="A28" s="3" t="inlineStr">
        <is>
          <t>By source</t>
        </is>
      </c>
      <c r="B28" s="4" t="inlineStr"/>
    </row>
    <row r="29">
      <c r="A29" s="10" t="inlineStr">
        <is>
          <t>Source</t>
        </is>
      </c>
      <c r="B29" s="11" t="inlineStr">
        <is>
          <t>Leads</t>
        </is>
      </c>
      <c r="C29" s="11" t="inlineStr">
        <is>
          <t>Hot</t>
        </is>
      </c>
      <c r="D29" s="11" t="inlineStr">
        <is>
          <t>Junk</t>
        </is>
      </c>
      <c r="E29" s="11" t="inlineStr">
        <is>
          <t>Visits</t>
        </is>
      </c>
      <c r="F29" s="11" t="inlineStr">
        <is>
          <t>Booked</t>
        </is>
      </c>
      <c r="G29" s="11" t="inlineStr">
        <is>
          <t>Conv.</t>
        </is>
      </c>
    </row>
    <row r="30">
      <c r="A30" s="7" t="inlineStr">
        <is>
          <t>website</t>
        </is>
      </c>
      <c r="B30" s="12">
        <f>COUNTIF(Leads!$H$2:$H$5000,$A30)</f>
        <v/>
      </c>
      <c r="C30" s="12">
        <f>COUNTIFS(Leads!$H$2:$H$5000,$A30,Leads!$P$2:$P$5000,"HOT")</f>
        <v/>
      </c>
      <c r="D30" s="12">
        <f>COUNTIFS(Leads!$H$2:$H$5000,$A30,Leads!$P$2:$P$5000,"JUNK")</f>
        <v/>
      </c>
      <c r="E30" s="12">
        <f>COUNTIFS(Leads!$H$2:$H$5000,$A30,Leads!$O$2:$O$5000,"Visit Scheduled")</f>
        <v/>
      </c>
      <c r="F30" s="12">
        <f>COUNTIFS(Leads!$H$2:$H$5000,$A30,Leads!$O$2:$O$5000,"Booked")</f>
        <v/>
      </c>
      <c r="G30" s="13">
        <f>IFERROR($F30/$B30,0)</f>
        <v/>
      </c>
    </row>
    <row r="31">
      <c r="A31" s="7" t="inlineStr">
        <is>
          <t>meta_ads</t>
        </is>
      </c>
      <c r="B31" s="12">
        <f>COUNTIF(Leads!$H$2:$H$5000,$A31)</f>
        <v/>
      </c>
      <c r="C31" s="12">
        <f>COUNTIFS(Leads!$H$2:$H$5000,$A31,Leads!$P$2:$P$5000,"HOT")</f>
        <v/>
      </c>
      <c r="D31" s="12">
        <f>COUNTIFS(Leads!$H$2:$H$5000,$A31,Leads!$P$2:$P$5000,"JUNK")</f>
        <v/>
      </c>
      <c r="E31" s="12">
        <f>COUNTIFS(Leads!$H$2:$H$5000,$A31,Leads!$O$2:$O$5000,"Visit Scheduled")</f>
        <v/>
      </c>
      <c r="F31" s="12">
        <f>COUNTIFS(Leads!$H$2:$H$5000,$A31,Leads!$O$2:$O$5000,"Booked")</f>
        <v/>
      </c>
      <c r="G31" s="13">
        <f>IFERROR($F31/$B31,0)</f>
        <v/>
      </c>
    </row>
    <row r="32">
      <c r="A32" s="7" t="inlineStr">
        <is>
          <t>google_ads</t>
        </is>
      </c>
      <c r="B32" s="12">
        <f>COUNTIF(Leads!$H$2:$H$5000,$A32)</f>
        <v/>
      </c>
      <c r="C32" s="12">
        <f>COUNTIFS(Leads!$H$2:$H$5000,$A32,Leads!$P$2:$P$5000,"HOT")</f>
        <v/>
      </c>
      <c r="D32" s="12">
        <f>COUNTIFS(Leads!$H$2:$H$5000,$A32,Leads!$P$2:$P$5000,"JUNK")</f>
        <v/>
      </c>
      <c r="E32" s="12">
        <f>COUNTIFS(Leads!$H$2:$H$5000,$A32,Leads!$O$2:$O$5000,"Visit Scheduled")</f>
        <v/>
      </c>
      <c r="F32" s="12">
        <f>COUNTIFS(Leads!$H$2:$H$5000,$A32,Leads!$O$2:$O$5000,"Booked")</f>
        <v/>
      </c>
      <c r="G32" s="13">
        <f>IFERROR($F32/$B32,0)</f>
        <v/>
      </c>
    </row>
    <row r="33">
      <c r="A33" s="7" t="inlineStr">
        <is>
          <t>99acres</t>
        </is>
      </c>
      <c r="B33" s="12">
        <f>COUNTIF(Leads!$H$2:$H$5000,$A33)</f>
        <v/>
      </c>
      <c r="C33" s="12">
        <f>COUNTIFS(Leads!$H$2:$H$5000,$A33,Leads!$P$2:$P$5000,"HOT")</f>
        <v/>
      </c>
      <c r="D33" s="12">
        <f>COUNTIFS(Leads!$H$2:$H$5000,$A33,Leads!$P$2:$P$5000,"JUNK")</f>
        <v/>
      </c>
      <c r="E33" s="12">
        <f>COUNTIFS(Leads!$H$2:$H$5000,$A33,Leads!$O$2:$O$5000,"Visit Scheduled")</f>
        <v/>
      </c>
      <c r="F33" s="12">
        <f>COUNTIFS(Leads!$H$2:$H$5000,$A33,Leads!$O$2:$O$5000,"Booked")</f>
        <v/>
      </c>
      <c r="G33" s="13">
        <f>IFERROR($F33/$B33,0)</f>
        <v/>
      </c>
    </row>
    <row r="34">
      <c r="A34" s="7" t="inlineStr">
        <is>
          <t>magicbricks</t>
        </is>
      </c>
      <c r="B34" s="12">
        <f>COUNTIF(Leads!$H$2:$H$5000,$A34)</f>
        <v/>
      </c>
      <c r="C34" s="12">
        <f>COUNTIFS(Leads!$H$2:$H$5000,$A34,Leads!$P$2:$P$5000,"HOT")</f>
        <v/>
      </c>
      <c r="D34" s="12">
        <f>COUNTIFS(Leads!$H$2:$H$5000,$A34,Leads!$P$2:$P$5000,"JUNK")</f>
        <v/>
      </c>
      <c r="E34" s="12">
        <f>COUNTIFS(Leads!$H$2:$H$5000,$A34,Leads!$O$2:$O$5000,"Visit Scheduled")</f>
        <v/>
      </c>
      <c r="F34" s="12">
        <f>COUNTIFS(Leads!$H$2:$H$5000,$A34,Leads!$O$2:$O$5000,"Booked")</f>
        <v/>
      </c>
      <c r="G34" s="13">
        <f>IFERROR($F34/$B34,0)</f>
        <v/>
      </c>
    </row>
    <row r="35">
      <c r="A35" s="7" t="inlineStr">
        <is>
          <t>housing</t>
        </is>
      </c>
      <c r="B35" s="12">
        <f>COUNTIF(Leads!$H$2:$H$5000,$A35)</f>
        <v/>
      </c>
      <c r="C35" s="12">
        <f>COUNTIFS(Leads!$H$2:$H$5000,$A35,Leads!$P$2:$P$5000,"HOT")</f>
        <v/>
      </c>
      <c r="D35" s="12">
        <f>COUNTIFS(Leads!$H$2:$H$5000,$A35,Leads!$P$2:$P$5000,"JUNK")</f>
        <v/>
      </c>
      <c r="E35" s="12">
        <f>COUNTIFS(Leads!$H$2:$H$5000,$A35,Leads!$O$2:$O$5000,"Visit Scheduled")</f>
        <v/>
      </c>
      <c r="F35" s="12">
        <f>COUNTIFS(Leads!$H$2:$H$5000,$A35,Leads!$O$2:$O$5000,"Booked")</f>
        <v/>
      </c>
      <c r="G35" s="13">
        <f>IFERROR($F35/$B35,0)</f>
        <v/>
      </c>
    </row>
    <row r="36">
      <c r="A36" s="7" t="inlineStr">
        <is>
          <t>whatsapp</t>
        </is>
      </c>
      <c r="B36" s="12">
        <f>COUNTIF(Leads!$H$2:$H$5000,$A36)</f>
        <v/>
      </c>
      <c r="C36" s="12">
        <f>COUNTIFS(Leads!$H$2:$H$5000,$A36,Leads!$P$2:$P$5000,"HOT")</f>
        <v/>
      </c>
      <c r="D36" s="12">
        <f>COUNTIFS(Leads!$H$2:$H$5000,$A36,Leads!$P$2:$P$5000,"JUNK")</f>
        <v/>
      </c>
      <c r="E36" s="12">
        <f>COUNTIFS(Leads!$H$2:$H$5000,$A36,Leads!$O$2:$O$5000,"Visit Scheduled")</f>
        <v/>
      </c>
      <c r="F36" s="12">
        <f>COUNTIFS(Leads!$H$2:$H$5000,$A36,Leads!$O$2:$O$5000,"Booked")</f>
        <v/>
      </c>
      <c r="G36" s="13">
        <f>IFERROR($F36/$B36,0)</f>
        <v/>
      </c>
    </row>
    <row r="37">
      <c r="A37" s="7" t="inlineStr">
        <is>
          <t>walk_in</t>
        </is>
      </c>
      <c r="B37" s="12">
        <f>COUNTIF(Leads!$H$2:$H$5000,$A37)</f>
        <v/>
      </c>
      <c r="C37" s="12">
        <f>COUNTIFS(Leads!$H$2:$H$5000,$A37,Leads!$P$2:$P$5000,"HOT")</f>
        <v/>
      </c>
      <c r="D37" s="12">
        <f>COUNTIFS(Leads!$H$2:$H$5000,$A37,Leads!$P$2:$P$5000,"JUNK")</f>
        <v/>
      </c>
      <c r="E37" s="12">
        <f>COUNTIFS(Leads!$H$2:$H$5000,$A37,Leads!$O$2:$O$5000,"Visit Scheduled")</f>
        <v/>
      </c>
      <c r="F37" s="12">
        <f>COUNTIFS(Leads!$H$2:$H$5000,$A37,Leads!$O$2:$O$5000,"Booked")</f>
        <v/>
      </c>
      <c r="G37" s="13">
        <f>IFERROR($F37/$B37,0)</f>
        <v/>
      </c>
    </row>
    <row r="38">
      <c r="A38" s="7" t="inlineStr">
        <is>
          <t>referral</t>
        </is>
      </c>
      <c r="B38" s="12">
        <f>COUNTIF(Leads!$H$2:$H$5000,$A38)</f>
        <v/>
      </c>
      <c r="C38" s="12">
        <f>COUNTIFS(Leads!$H$2:$H$5000,$A38,Leads!$P$2:$P$5000,"HOT")</f>
        <v/>
      </c>
      <c r="D38" s="12">
        <f>COUNTIFS(Leads!$H$2:$H$5000,$A38,Leads!$P$2:$P$5000,"JUNK")</f>
        <v/>
      </c>
      <c r="E38" s="12">
        <f>COUNTIFS(Leads!$H$2:$H$5000,$A38,Leads!$O$2:$O$5000,"Visit Scheduled")</f>
        <v/>
      </c>
      <c r="F38" s="12">
        <f>COUNTIFS(Leads!$H$2:$H$5000,$A38,Leads!$O$2:$O$5000,"Booked")</f>
        <v/>
      </c>
      <c r="G38" s="13">
        <f>IFERROR($F38/$B38,0)</f>
        <v/>
      </c>
    </row>
    <row r="39">
      <c r="A39" s="2" t="inlineStr">
        <is>
          <t>Source names must match what your ad platforms and forms send in the 'source' field. Add rows here as you add channels.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  <col width="18" customWidth="1" min="8" max="8"/>
    <col width="18" customWidth="1" min="9" max="9"/>
    <col width="26" customWidth="1" min="10" max="10"/>
    <col width="18" customWidth="1" min="11" max="11"/>
    <col width="18" customWidth="1" min="12" max="12"/>
    <col width="18" customWidth="1" min="13" max="13"/>
    <col width="40" customWidth="1" min="14" max="14"/>
    <col width="18" customWidth="1" min="15" max="15"/>
    <col width="18" customWidth="1" min="16" max="16"/>
    <col width="18" customWidth="1" min="17" max="17"/>
    <col width="18" customWidth="1" min="18" max="18"/>
    <col width="26" customWidth="1" min="19" max="19"/>
    <col width="22" customWidth="1" min="20" max="20"/>
    <col width="32" customWidth="1" min="21" max="21"/>
    <col width="36" customWidth="1" min="22" max="22"/>
    <col width="18" customWidth="1" min="23" max="23"/>
    <col width="18" customWidth="1" min="24" max="24"/>
    <col width="18" customWidth="1" min="25" max="25"/>
    <col width="20" customWidth="1" min="26" max="26"/>
    <col width="20" customWidth="1" min="27" max="27"/>
    <col width="20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30" customWidth="1" min="34" max="34"/>
  </cols>
  <sheetData>
    <row r="1" ht="22" customHeight="1">
      <c r="A1" s="14" t="inlineStr">
        <is>
          <t>lead_id</t>
        </is>
      </c>
      <c r="B1" s="14" t="inlineStr">
        <is>
          <t>created_at</t>
        </is>
      </c>
      <c r="C1" s="14" t="inlineStr">
        <is>
          <t>name</t>
        </is>
      </c>
      <c r="D1" s="14" t="inlineStr">
        <is>
          <t>phone</t>
        </is>
      </c>
      <c r="E1" s="14" t="inlineStr">
        <is>
          <t>wa_id</t>
        </is>
      </c>
      <c r="F1" s="14" t="inlineStr">
        <is>
          <t>phone_e164</t>
        </is>
      </c>
      <c r="G1" s="14" t="inlineStr">
        <is>
          <t>email</t>
        </is>
      </c>
      <c r="H1" s="14" t="inlineStr">
        <is>
          <t>source</t>
        </is>
      </c>
      <c r="I1" s="14" t="inlineStr">
        <is>
          <t>campaign</t>
        </is>
      </c>
      <c r="J1" s="14" t="inlineStr">
        <is>
          <t>project</t>
        </is>
      </c>
      <c r="K1" s="14" t="inlineStr">
        <is>
          <t>budget</t>
        </is>
      </c>
      <c r="L1" s="14" t="inlineStr">
        <is>
          <t>configuration</t>
        </is>
      </c>
      <c r="M1" s="14" t="inlineStr">
        <is>
          <t>timeline</t>
        </is>
      </c>
      <c r="N1" s="14" t="inlineStr">
        <is>
          <t>message</t>
        </is>
      </c>
      <c r="O1" s="14" t="inlineStr">
        <is>
          <t>status</t>
        </is>
      </c>
      <c r="P1" s="14" t="inlineStr">
        <is>
          <t>grade</t>
        </is>
      </c>
      <c r="Q1" s="14" t="inlineStr">
        <is>
          <t>score</t>
        </is>
      </c>
      <c r="R1" s="14" t="inlineStr">
        <is>
          <t>is_broker</t>
        </is>
      </c>
      <c r="S1" s="14" t="inlineStr">
        <is>
          <t>intent_signals</t>
        </is>
      </c>
      <c r="T1" s="14" t="inlineStr">
        <is>
          <t>risk_flags</t>
        </is>
      </c>
      <c r="U1" s="14" t="inlineStr">
        <is>
          <t>next_action</t>
        </is>
      </c>
      <c r="V1" s="14" t="inlineStr">
        <is>
          <t>ai_summary</t>
        </is>
      </c>
      <c r="W1" s="14" t="inlineStr">
        <is>
          <t>owner</t>
        </is>
      </c>
      <c r="X1" s="14" t="inlineStr">
        <is>
          <t>touch_count</t>
        </is>
      </c>
      <c r="Y1" s="14" t="inlineStr">
        <is>
          <t>followup_count</t>
        </is>
      </c>
      <c r="Z1" s="14" t="inlineStr">
        <is>
          <t>last_touch</t>
        </is>
      </c>
      <c r="AA1" s="14" t="inlineStr">
        <is>
          <t>last_inbound_at</t>
        </is>
      </c>
      <c r="AB1" s="14" t="inlineStr">
        <is>
          <t>last_followup_at</t>
        </is>
      </c>
      <c r="AC1" s="14" t="inlineStr">
        <is>
          <t>last_action</t>
        </is>
      </c>
      <c r="AD1" s="14" t="inlineStr">
        <is>
          <t>details_sent</t>
        </is>
      </c>
      <c r="AE1" s="14" t="inlineStr">
        <is>
          <t>brochure_sent</t>
        </is>
      </c>
      <c r="AF1" s="14" t="inlineStr">
        <is>
          <t>visit_event_id</t>
        </is>
      </c>
      <c r="AG1" s="14" t="inlineStr">
        <is>
          <t>visit_at</t>
        </is>
      </c>
      <c r="AH1" s="14" t="inlineStr">
        <is>
          <t>notes</t>
        </is>
      </c>
    </row>
  </sheetData>
  <autoFilter ref="A1:AH1"/>
  <dataValidations count="2">
    <dataValidation sqref="O2:O5000" showDropDown="0" showInputMessage="0" showErrorMessage="0" allowBlank="1" type="list">
      <formula1>"New,Engaged,Nurturing,Visit Scheduled,Booked,Lost,Dropped"</formula1>
    </dataValidation>
    <dataValidation sqref="P2:P5000" showDropDown="0" showInputMessage="0" showErrorMessage="0" allowBlank="1" type="list">
      <formula1>"HOT,WARM,COLD,JUNK"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34" customWidth="1" min="4" max="4"/>
    <col width="20" customWidth="1" min="5" max="5"/>
    <col width="16" customWidth="1" min="6" max="6"/>
    <col width="18" customWidth="1" min="7" max="7"/>
    <col width="18" customWidth="1" min="8" max="8"/>
    <col width="18" customWidth="1" min="9" max="9"/>
    <col width="40" customWidth="1" min="10" max="10"/>
    <col width="34" customWidth="1" min="11" max="11"/>
    <col width="34" customWidth="1" min="12" max="12"/>
    <col width="34" customWidth="1" min="13" max="13"/>
    <col width="34" customWidth="1" min="14" max="14"/>
    <col width="30" customWidth="1" min="15" max="15"/>
    <col width="20" customWidth="1" min="16" max="16"/>
  </cols>
  <sheetData>
    <row r="1" ht="22" customHeight="1">
      <c r="A1" s="14" t="inlineStr">
        <is>
          <t>project_name</t>
        </is>
      </c>
      <c r="B1" s="14" t="inlineStr">
        <is>
          <t>tagline</t>
        </is>
      </c>
      <c r="C1" s="14" t="inlineStr">
        <is>
          <t>location</t>
        </is>
      </c>
      <c r="D1" s="14" t="inlineStr">
        <is>
          <t>address</t>
        </is>
      </c>
      <c r="E1" s="14" t="inlineStr">
        <is>
          <t>price_range</t>
        </is>
      </c>
      <c r="F1" s="14" t="inlineStr">
        <is>
          <t>configurations</t>
        </is>
      </c>
      <c r="G1" s="14" t="inlineStr">
        <is>
          <t>carpet_area</t>
        </is>
      </c>
      <c r="H1" s="14" t="inlineStr">
        <is>
          <t>possession</t>
        </is>
      </c>
      <c r="I1" s="14" t="inlineStr">
        <is>
          <t>rera</t>
        </is>
      </c>
      <c r="J1" s="14" t="inlineStr">
        <is>
          <t>amenities</t>
        </is>
      </c>
      <c r="K1" s="14" t="inlineStr">
        <is>
          <t>image_1</t>
        </is>
      </c>
      <c r="L1" s="14" t="inlineStr">
        <is>
          <t>image_2</t>
        </is>
      </c>
      <c r="M1" s="14" t="inlineStr">
        <is>
          <t>image_3</t>
        </is>
      </c>
      <c r="N1" s="14" t="inlineStr">
        <is>
          <t>brochure_url</t>
        </is>
      </c>
      <c r="O1" s="14" t="inlineStr">
        <is>
          <t>maps_link</t>
        </is>
      </c>
      <c r="P1" s="14" t="inlineStr">
        <is>
          <t>site_office_contact</t>
        </is>
      </c>
    </row>
    <row r="2">
      <c r="A2" s="15" t="inlineStr">
        <is>
          <t>XYZ Skyline Residences</t>
        </is>
      </c>
      <c r="B2" s="15" t="inlineStr">
        <is>
          <t>2 &amp; 3 BHK by the lake</t>
        </is>
      </c>
      <c r="C2" s="15" t="inlineStr">
        <is>
          <t>Baner, Pune</t>
        </is>
      </c>
      <c r="D2" s="15" t="inlineStr">
        <is>
          <t>Survey 21, Baner Road, Baner, Pune 411045</t>
        </is>
      </c>
      <c r="E2" s="15" t="inlineStr">
        <is>
          <t>Rs 1.15 Cr - 1.95 Cr</t>
        </is>
      </c>
      <c r="F2" s="15" t="inlineStr">
        <is>
          <t>2 &amp; 3 BHK</t>
        </is>
      </c>
      <c r="G2" s="15" t="inlineStr">
        <is>
          <t>720 - 1180 sqft</t>
        </is>
      </c>
      <c r="H2" s="15" t="inlineStr">
        <is>
          <t>Dec 2027</t>
        </is>
      </c>
      <c r="I2" s="15" t="inlineStr">
        <is>
          <t>P52100054321</t>
        </is>
      </c>
      <c r="J2" s="15" t="inlineStr">
        <is>
          <t>Rooftop infinity pool, clubhouse, gym, kids play area, EV charging</t>
        </is>
      </c>
      <c r="K2" s="15" t="inlineStr">
        <is>
          <t>https://cdn.example.com/skyline/tower.jpg</t>
        </is>
      </c>
      <c r="L2" s="15" t="inlineStr">
        <is>
          <t>https://cdn.example.com/skyline/livingroom.jpg</t>
        </is>
      </c>
      <c r="M2" s="15" t="inlineStr">
        <is>
          <t>https://cdn.example.com/skyline/clubhouse.jpg</t>
        </is>
      </c>
      <c r="N2" s="15" t="inlineStr">
        <is>
          <t>https://cdn.example.com/skyline/brochure.pdf</t>
        </is>
      </c>
      <c r="O2" s="15" t="inlineStr">
        <is>
          <t>https://maps.app.goo.gl/example</t>
        </is>
      </c>
      <c r="P2" s="15" t="inlineStr">
        <is>
          <t>919999999999</t>
        </is>
      </c>
    </row>
    <row r="3">
      <c r="A3" s="15" t="inlineStr">
        <is>
          <t>XYZ Green Enclave</t>
        </is>
      </c>
      <c r="B3" s="15" t="inlineStr">
        <is>
          <t>Row houses with private gardens</t>
        </is>
      </c>
      <c r="C3" s="15" t="inlineStr">
        <is>
          <t>Wagholi, Pune</t>
        </is>
      </c>
      <c r="D3" s="15" t="inlineStr">
        <is>
          <t>Plot 8, Kesnand Road, Wagholi, Pune 412207</t>
        </is>
      </c>
      <c r="E3" s="15" t="inlineStr">
        <is>
          <t>Rs 85 L - 1.4 Cr</t>
        </is>
      </c>
      <c r="F3" s="15" t="inlineStr">
        <is>
          <t>3 &amp; 4 BHK</t>
        </is>
      </c>
      <c r="G3" s="15" t="inlineStr">
        <is>
          <t>1100 - 1650 sqft</t>
        </is>
      </c>
      <c r="H3" s="15" t="inlineStr">
        <is>
          <t>Jun 2028</t>
        </is>
      </c>
      <c r="I3" s="15" t="inlineStr">
        <is>
          <t>P52100067890</t>
        </is>
      </c>
      <c r="J3" s="15" t="inlineStr">
        <is>
          <t>Private garden, jogging track, amphitheatre, 24x7 security</t>
        </is>
      </c>
      <c r="K3" s="15" t="inlineStr">
        <is>
          <t>https://cdn.example.com/green/rowhouse.jpg</t>
        </is>
      </c>
      <c r="L3" s="15" t="inlineStr"/>
      <c r="M3" s="15" t="inlineStr"/>
      <c r="N3" s="15" t="inlineStr">
        <is>
          <t>https://cdn.example.com/green/brochure.pdf</t>
        </is>
      </c>
      <c r="O3" s="15" t="inlineStr">
        <is>
          <t>https://maps.app.goo.gl/example2</t>
        </is>
      </c>
      <c r="P3" s="15" t="inlineStr">
        <is>
          <t>919999999999</t>
        </is>
      </c>
    </row>
  </sheetData>
  <autoFilter ref="A1:P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26" customWidth="1" min="6" max="6"/>
    <col width="30" customWidth="1" min="7" max="7"/>
    <col width="28" customWidth="1" min="8" max="8"/>
    <col width="18" customWidth="1" min="9" max="9"/>
    <col width="18" customWidth="1" min="10" max="10"/>
    <col width="16" customWidth="1" min="11" max="11"/>
    <col width="26" customWidth="1" min="12" max="12"/>
    <col width="34" customWidth="1" min="13" max="13"/>
    <col width="18" customWidth="1" min="14" max="14"/>
  </cols>
  <sheetData>
    <row r="1" ht="22" customHeight="1">
      <c r="A1" s="14" t="inlineStr">
        <is>
          <t>event_id</t>
        </is>
      </c>
      <c r="B1" s="14" t="inlineStr">
        <is>
          <t>lead_id</t>
        </is>
      </c>
      <c r="C1" s="14" t="inlineStr">
        <is>
          <t>name</t>
        </is>
      </c>
      <c r="D1" s="14" t="inlineStr">
        <is>
          <t>phone</t>
        </is>
      </c>
      <c r="E1" s="14" t="inlineStr">
        <is>
          <t>email</t>
        </is>
      </c>
      <c r="F1" s="14" t="inlineStr">
        <is>
          <t>project</t>
        </is>
      </c>
      <c r="G1" s="14" t="inlineStr">
        <is>
          <t>visit_start_ist</t>
        </is>
      </c>
      <c r="H1" s="14" t="inlineStr">
        <is>
          <t>visit_start_iso</t>
        </is>
      </c>
      <c r="I1" s="14" t="inlineStr">
        <is>
          <t>duration_min</t>
        </is>
      </c>
      <c r="J1" s="14" t="inlineStr">
        <is>
          <t>status</t>
        </is>
      </c>
      <c r="K1" s="14" t="inlineStr">
        <is>
          <t>booked_via</t>
        </is>
      </c>
      <c r="L1" s="14" t="inlineStr">
        <is>
          <t>sales_manager</t>
        </is>
      </c>
      <c r="M1" s="14" t="inlineStr">
        <is>
          <t>calendar_link</t>
        </is>
      </c>
      <c r="N1" s="14" t="inlineStr">
        <is>
          <t>created_at</t>
        </is>
      </c>
    </row>
  </sheetData>
  <autoFilter ref="A1:N1"/>
  <dataValidations count="1">
    <dataValidation sqref="J2:J5000" showDropDown="0" showInputMessage="0" showErrorMessage="0" allowBlank="1" type="list">
      <formula1>"Scheduled,Completed,No-show,Rescheduled,Cancelled"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60" customWidth="1" min="7" max="7"/>
    <col width="30" customWidth="1" min="8" max="8"/>
    <col width="18" customWidth="1" min="9" max="9"/>
  </cols>
  <sheetData>
    <row r="1" ht="22" customHeight="1">
      <c r="A1" s="14" t="inlineStr">
        <is>
          <t>timestamp</t>
        </is>
      </c>
      <c r="B1" s="14" t="inlineStr">
        <is>
          <t>lead_id</t>
        </is>
      </c>
      <c r="C1" s="14" t="inlineStr">
        <is>
          <t>phone</t>
        </is>
      </c>
      <c r="D1" s="14" t="inlineStr">
        <is>
          <t>direction</t>
        </is>
      </c>
      <c r="E1" s="14" t="inlineStr">
        <is>
          <t>type</t>
        </is>
      </c>
      <c r="F1" s="14" t="inlineStr">
        <is>
          <t>action</t>
        </is>
      </c>
      <c r="G1" s="14" t="inlineStr">
        <is>
          <t>body</t>
        </is>
      </c>
      <c r="H1" s="14" t="inlineStr">
        <is>
          <t>wa_message_id</t>
        </is>
      </c>
      <c r="I1" s="14" t="inlineStr">
        <is>
          <t>status</t>
        </is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42" customWidth="1" min="4" max="4"/>
  </cols>
  <sheetData>
    <row r="1">
      <c r="A1" s="1" t="inlineStr">
        <is>
          <t>Field guide</t>
        </is>
      </c>
    </row>
    <row r="2">
      <c r="A2" s="2" t="inlineStr">
        <is>
          <t>Every column, what writes it, and one realistic value. This is the example row - the data tabs stay empty so nothing fake reaches a real buyer.</t>
        </is>
      </c>
    </row>
    <row r="4">
      <c r="A4" s="16" t="inlineStr">
        <is>
          <t>Tab</t>
        </is>
      </c>
      <c r="B4" s="16" t="inlineStr">
        <is>
          <t>Column</t>
        </is>
      </c>
      <c r="C4" s="16" t="inlineStr">
        <is>
          <t>Written by</t>
        </is>
      </c>
      <c r="D4" s="16" t="inlineStr">
        <is>
          <t>Example value</t>
        </is>
      </c>
    </row>
    <row r="5">
      <c r="A5" s="3" t="inlineStr">
        <is>
          <t>Leads</t>
        </is>
      </c>
      <c r="B5" s="4" t="n"/>
      <c r="C5" s="4" t="n"/>
      <c r="D5" s="4" t="n"/>
    </row>
    <row r="6">
      <c r="A6" s="17" t="n"/>
      <c r="B6" s="7" t="inlineStr">
        <is>
          <t>lead_id</t>
        </is>
      </c>
      <c r="C6" s="7" t="inlineStr">
        <is>
          <t>RE-00 on capture</t>
        </is>
      </c>
      <c r="D6" s="18" t="inlineStr">
        <is>
          <t>L1755771000123</t>
        </is>
      </c>
    </row>
    <row r="7">
      <c r="A7" s="17" t="n"/>
      <c r="B7" s="7" t="inlineStr">
        <is>
          <t>created_at</t>
        </is>
      </c>
      <c r="C7" s="7" t="inlineStr">
        <is>
          <t>RE-00 on capture</t>
        </is>
      </c>
      <c r="D7" s="18" t="inlineStr">
        <is>
          <t>2026-08-21T09:30:00.000Z</t>
        </is>
      </c>
    </row>
    <row r="8">
      <c r="A8" s="17" t="n"/>
      <c r="B8" s="7" t="inlineStr">
        <is>
          <t>name</t>
        </is>
      </c>
      <c r="C8" s="7" t="inlineStr">
        <is>
          <t>RE-00 from the form</t>
        </is>
      </c>
      <c r="D8" s="18" t="inlineStr">
        <is>
          <t>Rohan Kelkar</t>
        </is>
      </c>
    </row>
    <row r="9">
      <c r="A9" s="17" t="n"/>
      <c r="B9" s="7" t="inlineStr">
        <is>
          <t>phone</t>
        </is>
      </c>
      <c r="C9" s="7" t="inlineStr">
        <is>
          <t>RE-00, last 10 digits - the match key</t>
        </is>
      </c>
      <c r="D9" s="18" t="inlineStr">
        <is>
          <t>9876543210</t>
        </is>
      </c>
    </row>
    <row r="10">
      <c r="A10" s="17" t="n"/>
      <c r="B10" s="7" t="inlineStr">
        <is>
          <t>wa_id</t>
        </is>
      </c>
      <c r="C10" s="7" t="inlineStr">
        <is>
          <t>RE-00, full international digits</t>
        </is>
      </c>
      <c r="D10" s="18" t="inlineStr">
        <is>
          <t>919876543210</t>
        </is>
      </c>
    </row>
    <row r="11">
      <c r="A11" s="17" t="n"/>
      <c r="B11" s="7" t="inlineStr">
        <is>
          <t>phone_e164</t>
        </is>
      </c>
      <c r="C11" s="7" t="inlineStr">
        <is>
          <t>RE-00</t>
        </is>
      </c>
      <c r="D11" s="18" t="inlineStr">
        <is>
          <t>+919876543210</t>
        </is>
      </c>
    </row>
    <row r="12">
      <c r="A12" s="17" t="n"/>
      <c r="B12" s="7" t="inlineStr">
        <is>
          <t>email</t>
        </is>
      </c>
      <c r="C12" s="7" t="inlineStr">
        <is>
          <t>RE-00 from the form</t>
        </is>
      </c>
      <c r="D12" s="18" t="inlineStr">
        <is>
          <t>buyer@example.com</t>
        </is>
      </c>
    </row>
    <row r="13">
      <c r="A13" s="17" t="n"/>
      <c r="B13" s="7" t="inlineStr">
        <is>
          <t>source</t>
        </is>
      </c>
      <c r="C13" s="7" t="inlineStr">
        <is>
          <t>RE-00 from the form or ad platform</t>
        </is>
      </c>
      <c r="D13" s="18" t="inlineStr">
        <is>
          <t>meta_ads</t>
        </is>
      </c>
    </row>
    <row r="14">
      <c r="A14" s="17" t="n"/>
      <c r="B14" s="7" t="inlineStr">
        <is>
          <t>campaign</t>
        </is>
      </c>
      <c r="C14" s="7" t="inlineStr">
        <is>
          <t>RE-00 from the form</t>
        </is>
      </c>
      <c r="D14" s="18" t="inlineStr">
        <is>
          <t>aug-skyline-3bhk</t>
        </is>
      </c>
    </row>
    <row r="15">
      <c r="A15" s="17" t="n"/>
      <c r="B15" s="7" t="inlineStr">
        <is>
          <t>project</t>
        </is>
      </c>
      <c r="C15" s="7" t="inlineStr">
        <is>
          <t>RE-00, must match a Projects row</t>
        </is>
      </c>
      <c r="D15" s="18" t="inlineStr">
        <is>
          <t>XYZ Skyline Residences</t>
        </is>
      </c>
    </row>
    <row r="16">
      <c r="A16" s="17" t="n"/>
      <c r="B16" s="7" t="inlineStr">
        <is>
          <t>budget</t>
        </is>
      </c>
      <c r="C16" s="7" t="inlineStr">
        <is>
          <t>RE-00 from the form</t>
        </is>
      </c>
      <c r="D16" s="18" t="inlineStr">
        <is>
          <t>1.2 Cr</t>
        </is>
      </c>
    </row>
    <row r="17">
      <c r="A17" s="17" t="n"/>
      <c r="B17" s="7" t="inlineStr">
        <is>
          <t>configuration</t>
        </is>
      </c>
      <c r="C17" s="7" t="inlineStr">
        <is>
          <t>RE-00 from the form</t>
        </is>
      </c>
      <c r="D17" s="18" t="inlineStr">
        <is>
          <t>3BHK</t>
        </is>
      </c>
    </row>
    <row r="18">
      <c r="A18" s="17" t="n"/>
      <c r="B18" s="7" t="inlineStr">
        <is>
          <t>timeline</t>
        </is>
      </c>
      <c r="C18" s="7" t="inlineStr">
        <is>
          <t>RE-00 from the form</t>
        </is>
      </c>
      <c r="D18" s="18" t="inlineStr">
        <is>
          <t>0-3m</t>
        </is>
      </c>
    </row>
    <row r="19">
      <c r="A19" s="17" t="n"/>
      <c r="B19" s="7" t="inlineStr">
        <is>
          <t>message</t>
        </is>
      </c>
      <c r="C19" s="7" t="inlineStr">
        <is>
          <t>RE-00 from the form</t>
        </is>
      </c>
      <c r="D19" s="18" t="inlineStr">
        <is>
          <t>Looking for a 3BHK with lake view</t>
        </is>
      </c>
    </row>
    <row r="20">
      <c r="A20" s="17" t="n"/>
      <c r="B20" s="7" t="inlineStr">
        <is>
          <t>status</t>
        </is>
      </c>
      <c r="C20" s="7" t="inlineStr">
        <is>
          <t>RE-00 / RE-04 / RE-05</t>
        </is>
      </c>
      <c r="D20" s="18" t="inlineStr">
        <is>
          <t>Nurturing</t>
        </is>
      </c>
    </row>
    <row r="21">
      <c r="A21" s="17" t="n"/>
      <c r="B21" s="7" t="inlineStr">
        <is>
          <t>grade</t>
        </is>
      </c>
      <c r="C21" s="7" t="inlineStr">
        <is>
          <t>Claude, on capture and after each chat</t>
        </is>
      </c>
      <c r="D21" s="18" t="inlineStr">
        <is>
          <t>HOT</t>
        </is>
      </c>
    </row>
    <row r="22">
      <c r="A22" s="17" t="n"/>
      <c r="B22" s="7" t="inlineStr">
        <is>
          <t>score</t>
        </is>
      </c>
      <c r="C22" s="7" t="inlineStr">
        <is>
          <t>Claude, 0-100</t>
        </is>
      </c>
      <c r="D22" s="18" t="inlineStr">
        <is>
          <t>82</t>
        </is>
      </c>
    </row>
    <row r="23">
      <c r="A23" s="17" t="n"/>
      <c r="B23" s="7" t="inlineStr">
        <is>
          <t>is_broker</t>
        </is>
      </c>
      <c r="C23" s="7" t="inlineStr">
        <is>
          <t>Claude</t>
        </is>
      </c>
      <c r="D23" s="18" t="inlineStr">
        <is>
          <t>FALSE</t>
        </is>
      </c>
    </row>
    <row r="24">
      <c r="A24" s="17" t="n"/>
      <c r="B24" s="7" t="inlineStr">
        <is>
          <t>intent_signals</t>
        </is>
      </c>
      <c r="C24" s="7" t="inlineStr">
        <is>
          <t>Claude</t>
        </is>
      </c>
      <c r="D24" s="18" t="inlineStr">
        <is>
          <t>stated budget, wants a site visit</t>
        </is>
      </c>
    </row>
    <row r="25">
      <c r="A25" s="17" t="n"/>
      <c r="B25" s="7" t="inlineStr">
        <is>
          <t>risk_flags</t>
        </is>
      </c>
      <c r="C25" s="7" t="inlineStr">
        <is>
          <t>Claude</t>
        </is>
      </c>
      <c r="D25" s="18" t="inlineStr">
        <is>
          <t>out of city</t>
        </is>
      </c>
    </row>
    <row r="26">
      <c r="A26" s="17" t="n"/>
      <c r="B26" s="7" t="inlineStr">
        <is>
          <t>next_action</t>
        </is>
      </c>
      <c r="C26" s="7" t="inlineStr">
        <is>
          <t>Claude, one line for the exec</t>
        </is>
      </c>
      <c r="D26" s="18" t="inlineStr">
        <is>
          <t>Call within 15 minutes, offer Saturday slot</t>
        </is>
      </c>
    </row>
    <row r="27">
      <c r="A27" s="17" t="n"/>
      <c r="B27" s="7" t="inlineStr">
        <is>
          <t>ai_summary</t>
        </is>
      </c>
      <c r="C27" s="7" t="inlineStr">
        <is>
          <t>Claude, one line for the manager</t>
        </is>
      </c>
      <c r="D27" s="18" t="inlineStr">
        <is>
          <t>Budget matches, wants to visit this week</t>
        </is>
      </c>
    </row>
    <row r="28">
      <c r="A28" s="17" t="n"/>
      <c r="B28" s="7" t="inlineStr">
        <is>
          <t>owner</t>
        </is>
      </c>
      <c r="C28" s="19" t="inlineStr">
        <is>
          <t>YOU - assign a sales exec</t>
        </is>
      </c>
      <c r="D28" s="18" t="inlineStr">
        <is>
          <t>priya@xyzproperties.in</t>
        </is>
      </c>
    </row>
    <row r="29">
      <c r="A29" s="17" t="n"/>
      <c r="B29" s="7" t="inlineStr">
        <is>
          <t>touch_count</t>
        </is>
      </c>
      <c r="C29" s="7" t="inlineStr">
        <is>
          <t>RE-00, every interaction</t>
        </is>
      </c>
      <c r="D29" s="18" t="inlineStr">
        <is>
          <t>7</t>
        </is>
      </c>
    </row>
    <row r="30">
      <c r="A30" s="17" t="n"/>
      <c r="B30" s="7" t="inlineStr">
        <is>
          <t>followup_count</t>
        </is>
      </c>
      <c r="C30" s="7" t="inlineStr">
        <is>
          <t>RE-04 / RE-05, automated follow-ups only - caps at 6</t>
        </is>
      </c>
      <c r="D30" s="18" t="inlineStr">
        <is>
          <t>2</t>
        </is>
      </c>
    </row>
    <row r="31">
      <c r="A31" s="17" t="n"/>
      <c r="B31" s="7" t="inlineStr">
        <is>
          <t>last_touch</t>
        </is>
      </c>
      <c r="C31" s="7" t="inlineStr">
        <is>
          <t>every workflow - drives the cadence</t>
        </is>
      </c>
      <c r="D31" s="18" t="inlineStr">
        <is>
          <t>2026-08-21T04:30:00.000Z</t>
        </is>
      </c>
    </row>
    <row r="32">
      <c r="A32" s="17" t="n"/>
      <c r="B32" s="7" t="inlineStr">
        <is>
          <t>last_inbound_at</t>
        </is>
      </c>
      <c r="C32" s="7" t="inlineStr">
        <is>
          <t>RE-00 when the buyer speaks - pauses follow-ups</t>
        </is>
      </c>
      <c r="D32" s="18" t="inlineStr">
        <is>
          <t>2026-08-20T15:12:00.000Z</t>
        </is>
      </c>
    </row>
    <row r="33">
      <c r="A33" s="17" t="n"/>
      <c r="B33" s="7" t="inlineStr">
        <is>
          <t>last_followup_at</t>
        </is>
      </c>
      <c r="C33" s="7" t="inlineStr">
        <is>
          <t>RE-04 / RE-05 - stops the two engines doubling up</t>
        </is>
      </c>
      <c r="D33" s="18" t="inlineStr">
        <is>
          <t>2026-08-21T04:30:00.000Z</t>
        </is>
      </c>
    </row>
    <row r="34">
      <c r="A34" s="17" t="n"/>
      <c r="B34" s="7" t="inlineStr">
        <is>
          <t>last_action</t>
        </is>
      </c>
      <c r="C34" s="7" t="inlineStr">
        <is>
          <t>every workflow</t>
        </is>
      </c>
      <c r="D34" s="18" t="inlineStr">
        <is>
          <t>FOLLOWUP_2</t>
        </is>
      </c>
    </row>
    <row r="35">
      <c r="A35" s="17" t="n"/>
      <c r="B35" s="7" t="inlineStr">
        <is>
          <t>details_sent</t>
        </is>
      </c>
      <c r="C35" s="7" t="inlineStr">
        <is>
          <t>RE-00 on View Details</t>
        </is>
      </c>
      <c r="D35" s="18" t="inlineStr">
        <is>
          <t>2026-08-20T15:13:00.000Z</t>
        </is>
      </c>
    </row>
    <row r="36">
      <c r="A36" s="17" t="n"/>
      <c r="B36" s="7" t="inlineStr">
        <is>
          <t>brochure_sent</t>
        </is>
      </c>
      <c r="C36" s="7" t="inlineStr">
        <is>
          <t>RE-00 on Download Brochure</t>
        </is>
      </c>
      <c r="D36" s="18" t="inlineStr">
        <is>
          <t>2026-08-20T15:15:00.000Z</t>
        </is>
      </c>
    </row>
    <row r="37">
      <c r="A37" s="17" t="n"/>
      <c r="B37" s="7" t="inlineStr">
        <is>
          <t>visit_event_id</t>
        </is>
      </c>
      <c r="C37" s="7" t="inlineStr">
        <is>
          <t>RE-00 on booking</t>
        </is>
      </c>
      <c r="D37" s="18" t="inlineStr">
        <is>
          <t>abc123def456</t>
        </is>
      </c>
    </row>
    <row r="38">
      <c r="A38" s="17" t="n"/>
      <c r="B38" s="7" t="inlineStr">
        <is>
          <t>visit_at</t>
        </is>
      </c>
      <c r="C38" s="7" t="inlineStr">
        <is>
          <t>RE-00 on booking</t>
        </is>
      </c>
      <c r="D38" s="18" t="inlineStr">
        <is>
          <t>Saturday 23 Aug 2026, 11:00</t>
        </is>
      </c>
    </row>
    <row r="39">
      <c r="A39" s="17" t="n"/>
      <c r="B39" s="7" t="inlineStr">
        <is>
          <t>notes</t>
        </is>
      </c>
      <c r="C39" s="19" t="inlineStr">
        <is>
          <t>YOU, or the last follow-up line</t>
        </is>
      </c>
      <c r="D39" s="18" t="inlineStr">
        <is>
          <t>Prefers a higher floor, east facing</t>
        </is>
      </c>
    </row>
    <row r="41">
      <c r="A41" s="3" t="inlineStr">
        <is>
          <t>Projects</t>
        </is>
      </c>
      <c r="B41" s="4" t="n"/>
      <c r="C41" s="4" t="n"/>
      <c r="D41" s="4" t="n"/>
    </row>
    <row r="42">
      <c r="A42" s="17" t="n"/>
      <c r="B42" s="7" t="inlineStr">
        <is>
          <t>project_name</t>
        </is>
      </c>
      <c r="C42" s="19" t="inlineStr">
        <is>
          <t>YOU - must match the project on the lead</t>
        </is>
      </c>
      <c r="D42" s="18" t="inlineStr">
        <is>
          <t>XYZ Skyline Residences</t>
        </is>
      </c>
    </row>
    <row r="43">
      <c r="A43" s="17" t="n"/>
      <c r="B43" s="7" t="inlineStr">
        <is>
          <t>tagline</t>
        </is>
      </c>
      <c r="C43" s="19" t="inlineStr">
        <is>
          <t>YOU</t>
        </is>
      </c>
      <c r="D43" s="18" t="inlineStr">
        <is>
          <t>2 &amp; 3 BHK by the lake</t>
        </is>
      </c>
    </row>
    <row r="44">
      <c r="A44" s="17" t="n"/>
      <c r="B44" s="7" t="inlineStr">
        <is>
          <t>location</t>
        </is>
      </c>
      <c r="C44" s="19" t="inlineStr">
        <is>
          <t>YOU</t>
        </is>
      </c>
      <c r="D44" s="18" t="inlineStr">
        <is>
          <t>Baner, Pune</t>
        </is>
      </c>
    </row>
    <row r="45">
      <c r="A45" s="17" t="n"/>
      <c r="B45" s="7" t="inlineStr">
        <is>
          <t>address</t>
        </is>
      </c>
      <c r="C45" s="19" t="inlineStr">
        <is>
          <t>YOU - shown in the visit confirmation</t>
        </is>
      </c>
      <c r="D45" s="18" t="inlineStr">
        <is>
          <t>Survey 21, Baner Road, Pune 411045</t>
        </is>
      </c>
    </row>
    <row r="46">
      <c r="A46" s="17" t="n"/>
      <c r="B46" s="7" t="inlineStr">
        <is>
          <t>price_range</t>
        </is>
      </c>
      <c r="C46" s="19" t="inlineStr">
        <is>
          <t>YOU</t>
        </is>
      </c>
      <c r="D46" s="18" t="inlineStr">
        <is>
          <t>Rs 1.15 Cr - 1.95 Cr</t>
        </is>
      </c>
    </row>
    <row r="47">
      <c r="A47" s="17" t="n"/>
      <c r="B47" s="7" t="inlineStr">
        <is>
          <t>configurations</t>
        </is>
      </c>
      <c r="C47" s="19" t="inlineStr">
        <is>
          <t>YOU</t>
        </is>
      </c>
      <c r="D47" s="18" t="inlineStr">
        <is>
          <t>2 &amp; 3 BHK</t>
        </is>
      </c>
    </row>
    <row r="48">
      <c r="A48" s="17" t="n"/>
      <c r="B48" s="7" t="inlineStr">
        <is>
          <t>carpet_area</t>
        </is>
      </c>
      <c r="C48" s="19" t="inlineStr">
        <is>
          <t>YOU</t>
        </is>
      </c>
      <c r="D48" s="18" t="inlineStr">
        <is>
          <t>720 - 1180 sqft</t>
        </is>
      </c>
    </row>
    <row r="49">
      <c r="A49" s="17" t="n"/>
      <c r="B49" s="7" t="inlineStr">
        <is>
          <t>possession</t>
        </is>
      </c>
      <c r="C49" s="19" t="inlineStr">
        <is>
          <t>YOU</t>
        </is>
      </c>
      <c r="D49" s="18" t="inlineStr">
        <is>
          <t>Dec 2027</t>
        </is>
      </c>
    </row>
    <row r="50">
      <c r="A50" s="17" t="n"/>
      <c r="B50" s="7" t="inlineStr">
        <is>
          <t>rera</t>
        </is>
      </c>
      <c r="C50" s="19" t="inlineStr">
        <is>
          <t>YOU</t>
        </is>
      </c>
      <c r="D50" s="18" t="inlineStr">
        <is>
          <t>P52100054321</t>
        </is>
      </c>
    </row>
    <row r="51">
      <c r="A51" s="17" t="n"/>
      <c r="B51" s="7" t="inlineStr">
        <is>
          <t>amenities</t>
        </is>
      </c>
      <c r="C51" s="19" t="inlineStr">
        <is>
          <t>YOU</t>
        </is>
      </c>
      <c r="D51" s="18" t="inlineStr">
        <is>
          <t>Rooftop pool, clubhouse, gym, EV charging</t>
        </is>
      </c>
    </row>
    <row r="52">
      <c r="A52" s="17" t="n"/>
      <c r="B52" s="7" t="inlineStr">
        <is>
          <t>image_1</t>
        </is>
      </c>
      <c r="C52" s="19" t="inlineStr">
        <is>
          <t>YOU - public direct link</t>
        </is>
      </c>
      <c r="D52" s="18" t="inlineStr">
        <is>
          <t>https://cdn.example.com/skyline/tower.jpg</t>
        </is>
      </c>
    </row>
    <row r="53">
      <c r="A53" s="17" t="n"/>
      <c r="B53" s="7" t="inlineStr">
        <is>
          <t>image_2</t>
        </is>
      </c>
      <c r="C53" s="19" t="inlineStr">
        <is>
          <t>YOU - optional</t>
        </is>
      </c>
      <c r="D53" s="18" t="inlineStr">
        <is>
          <t>https://cdn.example.com/skyline/living.jpg</t>
        </is>
      </c>
    </row>
    <row r="54">
      <c r="A54" s="17" t="n"/>
      <c r="B54" s="7" t="inlineStr">
        <is>
          <t>image_3</t>
        </is>
      </c>
      <c r="C54" s="19" t="inlineStr">
        <is>
          <t>YOU - optional</t>
        </is>
      </c>
      <c r="D54" s="18" t="inlineStr">
        <is>
          <t>https://cdn.example.com/skyline/club.jpg</t>
        </is>
      </c>
    </row>
    <row r="55">
      <c r="A55" s="17" t="n"/>
      <c r="B55" s="7" t="inlineStr">
        <is>
          <t>brochure_url</t>
        </is>
      </c>
      <c r="C55" s="19" t="inlineStr">
        <is>
          <t>YOU - public direct link to the PDF</t>
        </is>
      </c>
      <c r="D55" s="18" t="inlineStr">
        <is>
          <t>https://cdn.example.com/skyline/brochure.pdf</t>
        </is>
      </c>
    </row>
    <row r="56">
      <c r="A56" s="17" t="n"/>
      <c r="B56" s="7" t="inlineStr">
        <is>
          <t>maps_link</t>
        </is>
      </c>
      <c r="C56" s="19" t="inlineStr">
        <is>
          <t>YOU</t>
        </is>
      </c>
      <c r="D56" s="18" t="inlineStr">
        <is>
          <t>https://maps.app.goo.gl/example</t>
        </is>
      </c>
    </row>
    <row r="57">
      <c r="A57" s="17" t="n"/>
      <c r="B57" s="7" t="inlineStr">
        <is>
          <t>site_office_contact</t>
        </is>
      </c>
      <c r="C57" s="19" t="inlineStr">
        <is>
          <t>YOU</t>
        </is>
      </c>
      <c r="D57" s="18" t="inlineStr">
        <is>
          <t>919999999999</t>
        </is>
      </c>
    </row>
    <row r="59">
      <c r="A59" s="3" t="inlineStr">
        <is>
          <t>Visits</t>
        </is>
      </c>
      <c r="B59" s="4" t="n"/>
      <c r="C59" s="4" t="n"/>
      <c r="D59" s="4" t="n"/>
    </row>
    <row r="60">
      <c r="A60" s="17" t="n"/>
      <c r="B60" s="7" t="inlineStr">
        <is>
          <t>event_id</t>
        </is>
      </c>
      <c r="C60" s="7" t="inlineStr">
        <is>
          <t>RE-00 - the Google Calendar event id</t>
        </is>
      </c>
      <c r="D60" s="18" t="inlineStr">
        <is>
          <t>abc123def456</t>
        </is>
      </c>
    </row>
    <row r="61">
      <c r="A61" s="17" t="n"/>
      <c r="B61" s="7" t="inlineStr">
        <is>
          <t>lead_id</t>
        </is>
      </c>
      <c r="C61" s="7" t="inlineStr">
        <is>
          <t>RE-00</t>
        </is>
      </c>
      <c r="D61" s="18" t="inlineStr">
        <is>
          <t>L1755771000123</t>
        </is>
      </c>
    </row>
    <row r="62">
      <c r="A62" s="17" t="n"/>
      <c r="B62" s="7" t="inlineStr">
        <is>
          <t>name</t>
        </is>
      </c>
      <c r="C62" s="7" t="inlineStr">
        <is>
          <t>RE-00</t>
        </is>
      </c>
      <c r="D62" s="18" t="inlineStr">
        <is>
          <t>Rohan Kelkar</t>
        </is>
      </c>
    </row>
    <row r="63">
      <c r="A63" s="17" t="n"/>
      <c r="B63" s="7" t="inlineStr">
        <is>
          <t>phone</t>
        </is>
      </c>
      <c r="C63" s="7" t="inlineStr">
        <is>
          <t>RE-00</t>
        </is>
      </c>
      <c r="D63" s="18" t="inlineStr">
        <is>
          <t>+919876543210</t>
        </is>
      </c>
    </row>
    <row r="64">
      <c r="A64" s="17" t="n"/>
      <c r="B64" s="7" t="inlineStr">
        <is>
          <t>email</t>
        </is>
      </c>
      <c r="C64" s="7" t="inlineStr">
        <is>
          <t>RE-00</t>
        </is>
      </c>
      <c r="D64" s="18" t="inlineStr">
        <is>
          <t>buyer@example.com</t>
        </is>
      </c>
    </row>
    <row r="65">
      <c r="A65" s="17" t="n"/>
      <c r="B65" s="7" t="inlineStr">
        <is>
          <t>project</t>
        </is>
      </c>
      <c r="C65" s="7" t="inlineStr">
        <is>
          <t>RE-00</t>
        </is>
      </c>
      <c r="D65" s="18" t="inlineStr">
        <is>
          <t>XYZ Skyline Residences</t>
        </is>
      </c>
    </row>
    <row r="66">
      <c r="A66" s="17" t="n"/>
      <c r="B66" s="7" t="inlineStr">
        <is>
          <t>visit_start_ist</t>
        </is>
      </c>
      <c r="C66" s="7" t="inlineStr">
        <is>
          <t>RE-00</t>
        </is>
      </c>
      <c r="D66" s="18" t="inlineStr">
        <is>
          <t>Saturday 23 Aug 2026, 11:00</t>
        </is>
      </c>
    </row>
    <row r="67">
      <c r="A67" s="17" t="n"/>
      <c r="B67" s="7" t="inlineStr">
        <is>
          <t>visit_start_iso</t>
        </is>
      </c>
      <c r="C67" s="7" t="inlineStr">
        <is>
          <t>RE-00</t>
        </is>
      </c>
      <c r="D67" s="18" t="inlineStr">
        <is>
          <t>2026-08-23T11:00:00.000+05:30</t>
        </is>
      </c>
    </row>
    <row r="68">
      <c r="A68" s="17" t="n"/>
      <c r="B68" s="7" t="inlineStr">
        <is>
          <t>duration_min</t>
        </is>
      </c>
      <c r="C68" s="7" t="inlineStr">
        <is>
          <t>RE-00</t>
        </is>
      </c>
      <c r="D68" s="18" t="inlineStr">
        <is>
          <t>45</t>
        </is>
      </c>
    </row>
    <row r="69">
      <c r="A69" s="17" t="n"/>
      <c r="B69" s="7" t="inlineStr">
        <is>
          <t>status</t>
        </is>
      </c>
      <c r="C69" s="7" t="inlineStr">
        <is>
          <t>RE-00, then YOU after the visit</t>
        </is>
      </c>
      <c r="D69" s="18" t="inlineStr">
        <is>
          <t>Scheduled</t>
        </is>
      </c>
    </row>
    <row r="70">
      <c r="A70" s="17" t="n"/>
      <c r="B70" s="7" t="inlineStr">
        <is>
          <t>booked_via</t>
        </is>
      </c>
      <c r="C70" s="7" t="inlineStr">
        <is>
          <t>RE-00</t>
        </is>
      </c>
      <c r="D70" s="18" t="inlineStr">
        <is>
          <t>WhatsApp button</t>
        </is>
      </c>
    </row>
    <row r="71">
      <c r="A71" s="17" t="n"/>
      <c r="B71" s="7" t="inlineStr">
        <is>
          <t>sales_manager</t>
        </is>
      </c>
      <c r="C71" s="7" t="inlineStr">
        <is>
          <t>RE-00 from Config</t>
        </is>
      </c>
      <c r="D71" s="18" t="inlineStr">
        <is>
          <t>sales.manager@xyzproperties.in</t>
        </is>
      </c>
    </row>
    <row r="72">
      <c r="A72" s="17" t="n"/>
      <c r="B72" s="7" t="inlineStr">
        <is>
          <t>calendar_link</t>
        </is>
      </c>
      <c r="C72" s="7" t="inlineStr">
        <is>
          <t>RE-00</t>
        </is>
      </c>
      <c r="D72" s="18" t="inlineStr">
        <is>
          <t>https://calendar.google.com/event?eid=...</t>
        </is>
      </c>
    </row>
    <row r="73">
      <c r="A73" s="17" t="n"/>
      <c r="B73" s="7" t="inlineStr">
        <is>
          <t>created_at</t>
        </is>
      </c>
      <c r="C73" s="7" t="inlineStr">
        <is>
          <t>RE-00</t>
        </is>
      </c>
      <c r="D73" s="18" t="inlineStr">
        <is>
          <t>2026-08-21T09:35:00.000Z</t>
        </is>
      </c>
    </row>
    <row r="75">
      <c r="A75" s="3" t="inlineStr">
        <is>
          <t>Messages</t>
        </is>
      </c>
      <c r="B75" s="4" t="n"/>
      <c r="C75" s="4" t="n"/>
      <c r="D75" s="4" t="n"/>
    </row>
    <row r="76">
      <c r="A76" s="17" t="n"/>
      <c r="B76" s="7" t="inlineStr">
        <is>
          <t>timestamp</t>
        </is>
      </c>
      <c r="C76" s="7" t="inlineStr">
        <is>
          <t>every workflow</t>
        </is>
      </c>
      <c r="D76" s="18" t="inlineStr">
        <is>
          <t>2026-08-21T09:30:12.000Z</t>
        </is>
      </c>
    </row>
    <row r="77">
      <c r="A77" s="17" t="n"/>
      <c r="B77" s="7" t="inlineStr">
        <is>
          <t>lead_id</t>
        </is>
      </c>
      <c r="C77" s="7" t="inlineStr">
        <is>
          <t>every workflow</t>
        </is>
      </c>
      <c r="D77" s="18" t="inlineStr">
        <is>
          <t>L1755771000123</t>
        </is>
      </c>
    </row>
    <row r="78">
      <c r="A78" s="17" t="n"/>
      <c r="B78" s="7" t="inlineStr">
        <is>
          <t>phone</t>
        </is>
      </c>
      <c r="C78" s="7" t="inlineStr">
        <is>
          <t>every workflow</t>
        </is>
      </c>
      <c r="D78" s="18" t="inlineStr">
        <is>
          <t>919876543210</t>
        </is>
      </c>
    </row>
    <row r="79">
      <c r="A79" s="17" t="n"/>
      <c r="B79" s="7" t="inlineStr">
        <is>
          <t>direction</t>
        </is>
      </c>
      <c r="C79" s="7" t="inlineStr">
        <is>
          <t>every workflow</t>
        </is>
      </c>
      <c r="D79" s="18" t="inlineStr">
        <is>
          <t>outbound</t>
        </is>
      </c>
    </row>
    <row r="80">
      <c r="A80" s="17" t="n"/>
      <c r="B80" s="7" t="inlineStr">
        <is>
          <t>type</t>
        </is>
      </c>
      <c r="C80" s="7" t="inlineStr">
        <is>
          <t>every workflow</t>
        </is>
      </c>
      <c r="D80" s="18" t="inlineStr">
        <is>
          <t>welcome_menu</t>
        </is>
      </c>
    </row>
    <row r="81">
      <c r="A81" s="17" t="n"/>
      <c r="B81" s="7" t="inlineStr">
        <is>
          <t>action</t>
        </is>
      </c>
      <c r="C81" s="7" t="inlineStr">
        <is>
          <t>every workflow</t>
        </is>
      </c>
      <c r="D81" s="18" t="inlineStr">
        <is>
          <t>VIEW_DETAILS</t>
        </is>
      </c>
    </row>
    <row r="82">
      <c r="A82" s="17" t="n"/>
      <c r="B82" s="7" t="inlineStr">
        <is>
          <t>body</t>
        </is>
      </c>
      <c r="C82" s="7" t="inlineStr">
        <is>
          <t>every workflow</t>
        </is>
      </c>
      <c r="D82" s="18" t="inlineStr">
        <is>
          <t>XYZ Skyline Residences - Rs 1.15 Cr - 1.95 Cr</t>
        </is>
      </c>
    </row>
    <row r="83">
      <c r="A83" s="17" t="n"/>
      <c r="B83" s="7" t="inlineStr">
        <is>
          <t>wa_message_id</t>
        </is>
      </c>
      <c r="C83" s="7" t="inlineStr">
        <is>
          <t>every workflow</t>
        </is>
      </c>
      <c r="D83" s="18" t="inlineStr">
        <is>
          <t>wamid.HBgMOTE5...</t>
        </is>
      </c>
    </row>
    <row r="84">
      <c r="A84" s="17" t="n"/>
      <c r="B84" s="7" t="inlineStr">
        <is>
          <t>status</t>
        </is>
      </c>
      <c r="C84" s="7" t="inlineStr">
        <is>
          <t>every workflow</t>
        </is>
      </c>
      <c r="D84" s="18" t="inlineStr">
        <is>
          <t>sent</t>
        </is>
      </c>
    </row>
  </sheetData>
  <autoFilter ref="A4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2026-08-21T09:54:24Z</dcterms:created>
  <dcterms:modified xsi:type="dcterms:W3CDTF">2026-08-21T09:54:24Z</dcterms:modified>
</cp:coreProperties>
</file>